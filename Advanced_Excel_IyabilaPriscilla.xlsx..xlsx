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yabila\"/>
    </mc:Choice>
  </mc:AlternateContent>
  <xr:revisionPtr revIDLastSave="0" documentId="13_ncr:1_{B5A1BC6A-4C0A-4B2B-90C2-27F8436C7748}" xr6:coauthVersionLast="47" xr6:coauthVersionMax="47" xr10:uidLastSave="{00000000-0000-0000-0000-000000000000}"/>
  <bookViews>
    <workbookView xWindow="-110" yWindow="-110" windowWidth="19420" windowHeight="10300" tabRatio="808" firstSheet="4" activeTab="4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  <sheet name="Index and Match" sheetId="14" r:id="rId11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6" l="1"/>
  <c r="F11" i="6"/>
  <c r="F10" i="6" a="1"/>
  <c r="F10" i="6" s="1"/>
  <c r="F9" i="6"/>
  <c r="F8" i="6" a="1"/>
  <c r="F8" i="6" s="1"/>
  <c r="F7" i="6"/>
  <c r="E9" i="14"/>
  <c r="E7" i="14"/>
  <c r="E3" i="14"/>
  <c r="C15" i="8"/>
  <c r="C19" i="8"/>
  <c r="A5" i="10"/>
  <c r="A2" i="10"/>
  <c r="E7" i="9" a="1"/>
  <c r="E7" i="9" s="1"/>
  <c r="E3" i="9"/>
  <c r="D24" i="8" a="1"/>
  <c r="D24" i="8" s="1"/>
  <c r="C23" i="8"/>
  <c r="C11" i="8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F3" i="6" a="1"/>
  <c r="F3" i="6" s="1"/>
  <c r="F2" i="6"/>
  <c r="E12" i="5"/>
  <c r="E11" i="5"/>
  <c r="E10" i="5"/>
  <c r="E9" i="5"/>
  <c r="E8" i="5"/>
  <c r="E7" i="5"/>
  <c r="E6" i="5"/>
  <c r="E5" i="5"/>
  <c r="E4" i="5"/>
  <c r="E3" i="5"/>
  <c r="E2" i="5"/>
  <c r="B5" i="4"/>
  <c r="B9" i="12"/>
  <c r="C5" i="12"/>
  <c r="D5" i="12"/>
  <c r="E5" i="12"/>
  <c r="B5" i="12"/>
  <c r="B4" i="12"/>
  <c r="C4" i="12"/>
  <c r="D4" i="12"/>
  <c r="E4" i="12"/>
  <c r="E3" i="12"/>
  <c r="E2" i="12"/>
  <c r="A3" i="11"/>
  <c r="B4" i="11"/>
  <c r="B3" i="11"/>
  <c r="A2" i="11"/>
  <c r="A1" i="11"/>
  <c r="B4" i="4"/>
  <c r="D2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<sst xmlns="http://schemas.openxmlformats.org/spreadsheetml/2006/main" count="164" uniqueCount="86">
  <si>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</si>
  <si>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</si>
  <si>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</si>
  <si>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</si>
  <si>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</si>
  <si>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</si>
  <si>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</si>
  <si>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</si>
  <si>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</si>
  <si>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</si>
  <si>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</si>
  <si>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</si>
  <si>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</si>
  <si>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</si>
  <si>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</si>
  <si>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</si>
  <si>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</si>
  <si>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</si>
  <si>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</si>
  <si>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</si>
  <si>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</si>
  <si>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</si>
  <si>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</si>
  <si>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</si>
  <si>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</si>
  <si>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</si>
  <si>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</si>
  <si>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</si>
  <si>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</si>
  <si>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</si>
  <si>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</si>
  <si>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</si>
  <si>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</si>
  <si>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</si>
  <si>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</si>
  <si>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</si>
  <si>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</si>
  <si>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</si>
  <si>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</si>
  <si>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</si>
  <si>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</si>
  <si>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</si>
  <si>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</si>
  <si>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</si>
  <si>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</si>
  <si>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</si>
  <si>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</si>
  <si>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</si>
  <si>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</si>
  <si>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</si>
  <si>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</si>
  <si>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</si>
  <si>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</si>
  <si>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</si>
  <si>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</si>
  <si>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</si>
  <si>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</si>
  <si>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</si>
  <si>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</si>
  <si>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</si>
  <si>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</si>
  <si>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</si>
  <si>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</si>
  <si>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</si>
  <si>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</si>
  <si>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</si>
  <si>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</si>
  <si>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</si>
  <si>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</si>
  <si>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</si>
  <si>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</si>
  <si>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</si>
  <si>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</si>
  <si>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Employee ID</t>
  </si>
  <si>
    <t>Name</t>
  </si>
  <si>
    <t>Mark</t>
  </si>
  <si>
    <t>Olayiwola</t>
  </si>
  <si>
    <t>Sadeeq</t>
  </si>
  <si>
    <t>Tobi</t>
  </si>
  <si>
    <t>Pie</t>
  </si>
  <si>
    <t>Lawrence</t>
  </si>
  <si>
    <t>using match</t>
  </si>
  <si>
    <t>Pie Position</t>
  </si>
  <si>
    <t>using index</t>
  </si>
  <si>
    <t>Olayiwola Mark</t>
  </si>
  <si>
    <t>using index/match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</si>
</sst>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35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35">
      <c r="A5" s="2" t="s">
        <v>8</v>
      </c>
      <c r="B5">
        <f>B4*$G$2</f>
        <v>0.60000000000000009</v>
      </c>
      <c r="C5">
        <f t="shared" ref="C5:E5" si="1">C4*$G$2</f>
        <v>0.5</v>
      </c>
      <c r="D5">
        <f t="shared" si="1"/>
        <v>0.30000000000000004</v>
      </c>
      <c r="E5">
        <f t="shared" si="1"/>
        <v>1.4000000000000001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B9">
        <f>E4/2</f>
        <v>7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6" sqref="B6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A6" zoomScale="175" zoomScaleNormal="175" workbookViewId="0">
      <selection activeCell="E13" sqref="E13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E8">
        <f>COUNTA(A2:A8)</f>
        <v>7</v>
      </c>
    </row>
    <row r="9" spans="1:5" x14ac:dyDescent="0.35">
      <c r="E9">
        <f>COUNTBLANK(A2:A9)</f>
        <v>1</v>
      </c>
    </row>
    <row r="10" spans="1:5" x14ac:dyDescent="0.35">
      <c r="D10" t="s">
        <v>25</v>
      </c>
      <c r="E10">
        <f>AVERAGE(B2:B8)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tabSelected="1" topLeftCell="A6" zoomScale="130" zoomScaleNormal="130" workbookViewId="0">
      <selection activeCell="F11" sqref="F11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6" x14ac:dyDescent="0.35">
      <c r="A1" s="2" t="s">
        <v>13</v>
      </c>
      <c r="B1" s="2" t="s">
        <v>28</v>
      </c>
      <c r="C1" s="2" t="s">
        <v>14</v>
      </c>
    </row>
    <row r="2" spans="1:6" x14ac:dyDescent="0.3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3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35">
      <c r="A4" t="s">
        <v>2</v>
      </c>
      <c r="B4" t="s">
        <v>29</v>
      </c>
      <c r="C4">
        <v>52</v>
      </c>
    </row>
    <row r="5" spans="1:6" x14ac:dyDescent="0.35">
      <c r="A5" t="s">
        <v>18</v>
      </c>
      <c r="B5" t="s">
        <v>29</v>
      </c>
      <c r="C5">
        <v>67</v>
      </c>
    </row>
    <row r="6" spans="1:6" x14ac:dyDescent="0.35">
      <c r="A6" t="s">
        <v>20</v>
      </c>
      <c r="B6" t="s">
        <v>29</v>
      </c>
      <c r="C6">
        <v>44</v>
      </c>
    </row>
    <row r="7" spans="1:6" x14ac:dyDescent="0.35">
      <c r="A7" t="s">
        <v>22</v>
      </c>
      <c r="B7" t="s">
        <v>29</v>
      </c>
      <c r="C7">
        <v>39</v>
      </c>
      <c r="E7" t="s">
        <v>32</v>
      </c>
      <c r="F7">
        <f>AVERAGEIF(B:B, B2, C:C)</f>
        <v>51.714285714285715</v>
      </c>
    </row>
    <row r="8" spans="1:6" x14ac:dyDescent="0.35">
      <c r="A8" t="s">
        <v>24</v>
      </c>
      <c r="B8" t="s">
        <v>29</v>
      </c>
      <c r="C8">
        <v>100</v>
      </c>
      <c r="E8" t="s">
        <v>33</v>
      </c>
      <c r="F8" cm="1">
        <f t="array" ref="F8">SUM(AVERAGEIFS(C:C,B:B,B2,A:A,A2:A3))</f>
        <v>60</v>
      </c>
    </row>
    <row r="9" spans="1:6" x14ac:dyDescent="0.35">
      <c r="A9" t="s">
        <v>0</v>
      </c>
      <c r="B9" t="s">
        <v>34</v>
      </c>
      <c r="C9">
        <v>75</v>
      </c>
      <c r="E9" t="s">
        <v>35</v>
      </c>
      <c r="F9">
        <f>COUNTIF(B:B,B16)</f>
        <v>7</v>
      </c>
    </row>
    <row r="10" spans="1:6" x14ac:dyDescent="0.35">
      <c r="A10" t="s">
        <v>1</v>
      </c>
      <c r="B10" t="s">
        <v>34</v>
      </c>
      <c r="C10">
        <v>32</v>
      </c>
      <c r="E10" t="s">
        <v>36</v>
      </c>
      <c r="F10" cm="1">
        <f t="array" ref="F10">SUM(COUNTIFS(B:B,B16,A:A,A18:A19))</f>
        <v>2</v>
      </c>
    </row>
    <row r="11" spans="1:6" x14ac:dyDescent="0.35">
      <c r="A11" t="s">
        <v>2</v>
      </c>
      <c r="B11" t="s">
        <v>34</v>
      </c>
      <c r="C11">
        <v>40</v>
      </c>
      <c r="E11" t="s">
        <v>37</v>
      </c>
      <c r="F11">
        <f>_xlfn.MINIFS(C:C,B:B,"Philippines")</f>
        <v>29</v>
      </c>
    </row>
    <row r="12" spans="1:6" x14ac:dyDescent="0.35">
      <c r="A12" t="s">
        <v>18</v>
      </c>
      <c r="B12" t="s">
        <v>34</v>
      </c>
      <c r="C12">
        <v>21</v>
      </c>
      <c r="E12" t="s">
        <v>38</v>
      </c>
      <c r="F12">
        <f>_xlfn.MAXIFS(C:C,B:B,"Philippines")</f>
        <v>100</v>
      </c>
    </row>
    <row r="13" spans="1:6" x14ac:dyDescent="0.35">
      <c r="A13" t="s">
        <v>20</v>
      </c>
      <c r="B13" t="s">
        <v>34</v>
      </c>
      <c r="C13">
        <v>58</v>
      </c>
    </row>
    <row r="14" spans="1:6" x14ac:dyDescent="0.35">
      <c r="A14" t="s">
        <v>22</v>
      </c>
      <c r="B14" t="s">
        <v>34</v>
      </c>
      <c r="C14">
        <v>21</v>
      </c>
    </row>
    <row r="15" spans="1:6" x14ac:dyDescent="0.35">
      <c r="A15" t="s">
        <v>24</v>
      </c>
      <c r="B15" t="s">
        <v>34</v>
      </c>
      <c r="C15">
        <v>54</v>
      </c>
    </row>
    <row r="16" spans="1:6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8" zoomScale="190" zoomScaleNormal="190" workbookViewId="0">
      <selection activeCell="A33" sqref="A33"/>
    </sheetView>
  </sheetViews>
  <sheetFormatPr defaultRowHeight="14.5" x14ac:dyDescent="0.35"/>
  <cols>
    <col min="1" max="1" width="23.17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3" spans="1:3" x14ac:dyDescent="0.35">
      <c r="A3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</row>
    <row r="7" spans="1:3" x14ac:dyDescent="0.35">
      <c r="A7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_xlfn.CONCAT(A10," ",B10)</f>
        <v>Kevin Cookie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A14&amp; " "&amp;B14&amp;C14</f>
        <v>Kevin CookieCompany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tr">
        <f>_xlfn.TEXTJOIN(" ",TRUE,A18:C18)</f>
        <v>Kevin Cookie Company</v>
      </c>
    </row>
    <row r="21" spans="1:3" x14ac:dyDescent="0.35">
      <c r="A21" s="2" t="s">
        <v>50</v>
      </c>
    </row>
    <row r="22" spans="1:3" x14ac:dyDescent="0.35">
      <c r="A22" t="s">
        <v>51</v>
      </c>
    </row>
    <row r="23" spans="1:3" x14ac:dyDescent="0.35">
      <c r="A23" t="str">
        <f>RIGHT(A22,5)</f>
        <v>05486</v>
      </c>
    </row>
    <row r="24" spans="1:3" x14ac:dyDescent="0.35">
      <c r="A24" s="2" t="s">
        <v>52</v>
      </c>
    </row>
    <row r="25" spans="1:3" x14ac:dyDescent="0.35">
      <c r="A25" t="s">
        <v>53</v>
      </c>
    </row>
    <row r="26" spans="1:3" x14ac:dyDescent="0.35">
      <c r="A26">
        <f>LEN(A25)</f>
        <v>20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29" spans="1:3" x14ac:dyDescent="0.35">
      <c r="A29">
        <f>FIND("@",A28)</f>
        <v>4</v>
      </c>
    </row>
    <row r="31" spans="1:3" x14ac:dyDescent="0.35">
      <c r="A31" s="2" t="s">
        <v>56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8" zoomScale="145" zoomScaleNormal="145" workbookViewId="0">
      <selection activeCell="C19" sqref="C19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3" x14ac:dyDescent="0.35">
      <c r="A1" s="2" t="s">
        <v>57</v>
      </c>
    </row>
    <row r="2" spans="1:3" x14ac:dyDescent="0.35">
      <c r="A2" t="s">
        <v>53</v>
      </c>
      <c r="B2" t="s">
        <v>58</v>
      </c>
      <c r="C2" t="b">
        <f>A2=B2</f>
        <v>0</v>
      </c>
    </row>
    <row r="3" spans="1:3" x14ac:dyDescent="0.35">
      <c r="A3">
        <v>10</v>
      </c>
      <c r="B3">
        <v>5</v>
      </c>
      <c r="C3" t="b">
        <f>A3=B3</f>
        <v>0</v>
      </c>
    </row>
    <row r="4" spans="1:3" x14ac:dyDescent="0.35">
      <c r="B4">
        <v>9</v>
      </c>
      <c r="C4" t="b">
        <f>A3&gt;B3</f>
        <v>1</v>
      </c>
    </row>
    <row r="5" spans="1:3" x14ac:dyDescent="0.35">
      <c r="C5" t="b">
        <f>A3&gt;=B3</f>
        <v>1</v>
      </c>
    </row>
    <row r="6" spans="1:3" x14ac:dyDescent="0.35">
      <c r="C6" t="b">
        <f>A3&lt;B3</f>
        <v>0</v>
      </c>
    </row>
    <row r="7" spans="1:3" x14ac:dyDescent="0.35">
      <c r="C7" t="b">
        <f>AND(A3&gt;B3,A3&gt;B4)</f>
        <v>1</v>
      </c>
    </row>
    <row r="8" spans="1:3" x14ac:dyDescent="0.35">
      <c r="A8" s="2"/>
    </row>
    <row r="9" spans="1:3" x14ac:dyDescent="0.35">
      <c r="A9" s="2" t="s">
        <v>13</v>
      </c>
      <c r="B9" s="2" t="s">
        <v>14</v>
      </c>
      <c r="C9" s="2" t="s">
        <v>59</v>
      </c>
    </row>
    <row r="10" spans="1:3" x14ac:dyDescent="0.35">
      <c r="A10" t="s">
        <v>0</v>
      </c>
      <c r="B10">
        <v>97</v>
      </c>
      <c r="C10" t="s">
        <v>60</v>
      </c>
    </row>
    <row r="11" spans="1:3" x14ac:dyDescent="0.3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35">
      <c r="A12" t="s">
        <v>2</v>
      </c>
      <c r="B12">
        <v>150</v>
      </c>
    </row>
    <row r="13" spans="1:3" x14ac:dyDescent="0.35">
      <c r="C13" s="2" t="s">
        <v>61</v>
      </c>
    </row>
    <row r="14" spans="1:3" x14ac:dyDescent="0.35">
      <c r="C14" t="s">
        <v>62</v>
      </c>
    </row>
    <row r="15" spans="1:3" x14ac:dyDescent="0.35">
      <c r="C15" t="str">
        <f>IF(AND(B10&gt;B11,B10&gt;B12),"yes","no")</f>
        <v>no</v>
      </c>
    </row>
    <row r="17" spans="1:5" x14ac:dyDescent="0.35">
      <c r="C17" s="2" t="s">
        <v>63</v>
      </c>
    </row>
    <row r="18" spans="1:5" x14ac:dyDescent="0.35">
      <c r="C18" t="s">
        <v>64</v>
      </c>
    </row>
    <row r="19" spans="1:5" x14ac:dyDescent="0.35">
      <c r="C19" t="str">
        <f>IF(OR(B10&gt;B11,B10&gt;B12),"yes","no")</f>
        <v>no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2</v>
      </c>
    </row>
    <row r="23" spans="1:5" x14ac:dyDescent="0.35">
      <c r="A23" t="s">
        <v>1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35">
      <c r="A24" t="s">
        <v>2</v>
      </c>
      <c r="B24">
        <v>5</v>
      </c>
      <c r="D24" cm="1">
        <f t="array" ref="D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F3" sqref="F3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35">
      <c r="A4" t="s">
        <v>2</v>
      </c>
      <c r="B4">
        <v>5</v>
      </c>
      <c r="C4">
        <v>2</v>
      </c>
    </row>
    <row r="5" spans="1:6" x14ac:dyDescent="0.35">
      <c r="E5" s="2" t="s">
        <v>70</v>
      </c>
    </row>
    <row r="6" spans="1:6" x14ac:dyDescent="0.35">
      <c r="E6" t="s">
        <v>68</v>
      </c>
      <c r="F6" t="s">
        <v>0</v>
      </c>
    </row>
    <row r="7" spans="1:6" x14ac:dyDescent="0.35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46089</v>
      </c>
    </row>
    <row r="4" spans="1:1" x14ac:dyDescent="0.35">
      <c r="A4" s="2" t="s">
        <v>72</v>
      </c>
    </row>
    <row r="5" spans="1:1" x14ac:dyDescent="0.35">
      <c r="A5" s="7">
        <f ca="1">NOW()</f>
        <v>46089.675049305559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A2" sqref="A2"/>
    </sheetView>
  </sheetViews>
  <sheetFormatPr defaultRowHeight="14.5" x14ac:dyDescent="0.35"/>
  <sheetData>
    <row r="1" spans="1:2" x14ac:dyDescent="0.35">
      <c r="A1" s="8">
        <f>5+4</f>
        <v>9</v>
      </c>
      <c r="B1">
        <v>1</v>
      </c>
    </row>
    <row r="2" spans="1:2" x14ac:dyDescent="0.35">
      <c r="A2" s="8">
        <f>8-2</f>
        <v>6</v>
      </c>
      <c r="B2">
        <v>3</v>
      </c>
    </row>
    <row r="3" spans="1:2" x14ac:dyDescent="0.35">
      <c r="A3" s="8">
        <f>A2+B2</f>
        <v>9</v>
      </c>
      <c r="B3" s="8">
        <f>4+2</f>
        <v>6</v>
      </c>
    </row>
    <row r="4" spans="1:2" x14ac:dyDescent="0.35">
      <c r="A4">
        <v>3</v>
      </c>
      <c r="B4" s="8">
        <f>B3+A3</f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0D74-97FE-4E09-8308-78FD824BCAD1}">
  <dimension ref="A1:F9"/>
  <sheetViews>
    <sheetView workbookViewId="0">
      <selection activeCell="K18" sqref="K18"/>
    </sheetView>
  </sheetViews>
  <sheetFormatPr defaultRowHeight="14.5" x14ac:dyDescent="0.35"/>
  <cols>
    <col min="1" max="1" width="11.26953125" bestFit="1" customWidth="1"/>
    <col min="2" max="2" width="9" bestFit="1" customWidth="1"/>
    <col min="3" max="3" width="7" customWidth="1"/>
    <col min="5" max="5" width="16.6328125" customWidth="1"/>
    <col min="6" max="6" width="14.6328125" customWidth="1"/>
  </cols>
  <sheetData>
    <row r="1" spans="1:6" x14ac:dyDescent="0.35">
      <c r="A1" t="s">
        <v>73</v>
      </c>
      <c r="B1" t="s">
        <v>74</v>
      </c>
      <c r="C1" t="s">
        <v>75</v>
      </c>
    </row>
    <row r="2" spans="1:6" x14ac:dyDescent="0.35">
      <c r="A2">
        <v>1</v>
      </c>
      <c r="B2" t="s">
        <v>76</v>
      </c>
      <c r="C2">
        <v>10</v>
      </c>
      <c r="E2" t="s">
        <v>81</v>
      </c>
      <c r="F2" s="2" t="s">
        <v>82</v>
      </c>
    </row>
    <row r="3" spans="1:6" x14ac:dyDescent="0.35">
      <c r="A3">
        <v>2</v>
      </c>
      <c r="B3" t="s">
        <v>77</v>
      </c>
      <c r="C3">
        <v>20</v>
      </c>
      <c r="E3">
        <f>MATCH("pie",B:B,0)</f>
        <v>5</v>
      </c>
    </row>
    <row r="4" spans="1:6" x14ac:dyDescent="0.35">
      <c r="A4">
        <v>3</v>
      </c>
      <c r="B4" t="s">
        <v>78</v>
      </c>
      <c r="C4">
        <v>30</v>
      </c>
    </row>
    <row r="5" spans="1:6" x14ac:dyDescent="0.35">
      <c r="A5">
        <v>4</v>
      </c>
      <c r="B5" t="s">
        <v>79</v>
      </c>
      <c r="C5">
        <v>100</v>
      </c>
    </row>
    <row r="6" spans="1:6" x14ac:dyDescent="0.35">
      <c r="A6">
        <v>5</v>
      </c>
      <c r="B6" t="s">
        <v>80</v>
      </c>
      <c r="C6">
        <v>20</v>
      </c>
      <c r="E6" t="s">
        <v>83</v>
      </c>
      <c r="F6" s="2" t="s">
        <v>84</v>
      </c>
    </row>
    <row r="7" spans="1:6" x14ac:dyDescent="0.35">
      <c r="E7">
        <f>INDEX(C:C, 2)</f>
        <v>10</v>
      </c>
    </row>
    <row r="8" spans="1:6" x14ac:dyDescent="0.35">
      <c r="E8" t="s">
        <v>85</v>
      </c>
      <c r="F8" s="2" t="s">
        <v>78</v>
      </c>
    </row>
    <row r="9" spans="1:6" x14ac:dyDescent="0.35">
      <c r="E9">
        <f>INDEX(C:C,MATCH("Tobi",B:B,0))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Index and Match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IYABILA OGBIKO</cp:lastModifiedBy>
  <cp:revision/>
  <dcterms:created xsi:type="dcterms:W3CDTF">2022-05-10T22:30:35Z</dcterms:created>
  <dcterms:modified xsi:type="dcterms:W3CDTF">2026-03-08T15:12:36Z</dcterms:modified>
  <cp:category/>
  <cp:contentStatus/>
</cp:coreProperties>
</file>